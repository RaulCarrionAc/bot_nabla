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ulito\Desktop\NABLA SPA\Codigos\solicitud_max\data\"/>
    </mc:Choice>
  </mc:AlternateContent>
  <xr:revisionPtr revIDLastSave="0" documentId="13_ncr:1_{A0937C7E-EEB6-4AE8-AE15-7636FD2BEBA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xpediciones" sheetId="1" r:id="rId1"/>
    <sheet name="Datos" sheetId="2" r:id="rId2"/>
    <sheet name="desref" sheetId="3" r:id="rId3"/>
    <sheet name="TD_velocidades" sheetId="5" r:id="rId4"/>
    <sheet name="TD" sheetId="4" r:id="rId5"/>
  </sheets>
  <definedNames>
    <definedName name="Slicer_día">#N/A</definedName>
    <definedName name="Slicer_Dirección">#N/A</definedName>
    <definedName name="Slicer_Período">#N/A</definedName>
    <definedName name="Slicer_Tipo_de_Día">#N/A</definedName>
    <definedName name="Slicer_Variante">#N/A</definedName>
  </definedNames>
  <calcPr calcId="191029"/>
  <pivotCaches>
    <pivotCache cacheId="14" r:id="rId6"/>
    <pivotCache cacheId="1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5" l="1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25" i="4"/>
  <c r="E25" i="4" s="1"/>
  <c r="F25" i="4" s="1"/>
  <c r="G25" i="4" s="1"/>
  <c r="D24" i="4"/>
  <c r="E24" i="4" s="1"/>
  <c r="F24" i="4" s="1"/>
  <c r="G24" i="4" s="1"/>
  <c r="E23" i="4"/>
  <c r="F23" i="4" s="1"/>
  <c r="G23" i="4" s="1"/>
  <c r="D23" i="4"/>
  <c r="E22" i="4"/>
  <c r="F22" i="4" s="1"/>
  <c r="G22" i="4" s="1"/>
  <c r="D22" i="4"/>
  <c r="D21" i="4"/>
  <c r="E21" i="4" s="1"/>
  <c r="F21" i="4" s="1"/>
  <c r="G21" i="4" s="1"/>
  <c r="D20" i="4"/>
  <c r="E20" i="4" s="1"/>
  <c r="F20" i="4" s="1"/>
  <c r="G20" i="4" s="1"/>
  <c r="E19" i="4"/>
  <c r="F19" i="4" s="1"/>
  <c r="G19" i="4" s="1"/>
  <c r="D19" i="4"/>
  <c r="E18" i="4"/>
  <c r="F18" i="4" s="1"/>
  <c r="G18" i="4" s="1"/>
  <c r="D18" i="4"/>
  <c r="D17" i="4"/>
  <c r="E17" i="4" s="1"/>
  <c r="F17" i="4" s="1"/>
  <c r="G17" i="4" s="1"/>
  <c r="D16" i="4"/>
  <c r="E16" i="4" s="1"/>
  <c r="F16" i="4" s="1"/>
  <c r="G16" i="4" s="1"/>
  <c r="E15" i="4"/>
  <c r="F15" i="4" s="1"/>
  <c r="G15" i="4" s="1"/>
  <c r="D15" i="4"/>
  <c r="E14" i="4"/>
  <c r="F14" i="4" s="1"/>
  <c r="G14" i="4" s="1"/>
  <c r="D14" i="4"/>
  <c r="D13" i="4"/>
  <c r="E13" i="4" s="1"/>
  <c r="F13" i="4" s="1"/>
  <c r="G13" i="4" s="1"/>
  <c r="D12" i="4"/>
  <c r="E12" i="4" s="1"/>
  <c r="F12" i="4" s="1"/>
  <c r="G12" i="4" s="1"/>
  <c r="E11" i="4"/>
  <c r="F11" i="4" s="1"/>
  <c r="G11" i="4" s="1"/>
  <c r="D11" i="4"/>
  <c r="E10" i="4"/>
  <c r="F10" i="4" s="1"/>
  <c r="G10" i="4" s="1"/>
  <c r="D10" i="4"/>
  <c r="D9" i="4"/>
  <c r="E9" i="4" s="1"/>
  <c r="F9" i="4" s="1"/>
  <c r="G9" i="4" s="1"/>
  <c r="D8" i="4"/>
  <c r="E8" i="4" s="1"/>
  <c r="F8" i="4" s="1"/>
  <c r="G8" i="4" s="1"/>
  <c r="E7" i="4"/>
  <c r="F7" i="4" s="1"/>
  <c r="G7" i="4" s="1"/>
  <c r="D7" i="4"/>
  <c r="D6" i="4"/>
  <c r="E6" i="4" s="1"/>
  <c r="F6" i="4" s="1"/>
  <c r="G6" i="4" s="1"/>
  <c r="D5" i="4"/>
  <c r="E5" i="4" s="1"/>
  <c r="F5" i="4" s="1"/>
  <c r="G5" i="4" s="1"/>
</calcChain>
</file>

<file path=xl/sharedStrings.xml><?xml version="1.0" encoding="utf-8"?>
<sst xmlns="http://schemas.openxmlformats.org/spreadsheetml/2006/main" count="46" uniqueCount="34">
  <si>
    <t>muestra</t>
  </si>
  <si>
    <t>Values</t>
  </si>
  <si>
    <t>coef var</t>
  </si>
  <si>
    <t>TV lento</t>
  </si>
  <si>
    <t>minutos</t>
  </si>
  <si>
    <t>Etiquetas de fila</t>
  </si>
  <si>
    <t>TV prom</t>
  </si>
  <si>
    <t>Variante</t>
  </si>
  <si>
    <t>Dirección</t>
  </si>
  <si>
    <t>Tipo de Día</t>
  </si>
  <si>
    <t>Total general</t>
  </si>
  <si>
    <t>fila_ID</t>
  </si>
  <si>
    <t>columna</t>
  </si>
  <si>
    <t>pto_ctrl</t>
  </si>
  <si>
    <t>hora_paso</t>
  </si>
  <si>
    <t>delta_TV</t>
  </si>
  <si>
    <t>año</t>
  </si>
  <si>
    <t>mes</t>
  </si>
  <si>
    <t>día</t>
  </si>
  <si>
    <t>SS</t>
  </si>
  <si>
    <t>puntos_control_OP</t>
  </si>
  <si>
    <t>puntos_control_PO</t>
  </si>
  <si>
    <t>muestra.1</t>
  </si>
  <si>
    <t>Tipo de Día_Período</t>
  </si>
  <si>
    <t>SS_Tipo de Día</t>
  </si>
  <si>
    <t>Período</t>
  </si>
  <si>
    <t>SS_Tipo de Día_Período</t>
  </si>
  <si>
    <t>delta_TV_min</t>
  </si>
  <si>
    <t>velocidad</t>
  </si>
  <si>
    <t>Average of delta_TV_min</t>
  </si>
  <si>
    <t>StdDev of delta_TV_min</t>
  </si>
  <si>
    <t>(en blanco)</t>
  </si>
  <si>
    <t>Average of velocidad</t>
  </si>
  <si>
    <t>StdDev of velocidad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</si>
</sst>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]:mm"/>
  </numFmts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pivotButton="1" applyAlignment="1">
      <alignment horizontal="center"/>
    </xf>
    <xf numFmtId="9" fontId="0" fillId="0" borderId="0" xfId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14"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[h]:m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pivotSource>
    <c:name>[template_speeds.xlsx]expediciones!PivotTable1</c:name>
    <c:fmtId val="2"/>
  </c:pivotSource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208192"/>
        <c:axId val="522218592"/>
      </c:barChart>
      <c:catAx>
        <c:axId val="52220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2218592"/>
        <c:crosses val="autoZero"/>
        <c:auto val="1"/>
        <c:lblAlgn val="ctr"/>
        <c:lblOffset val="100"/>
        <c:noMultiLvlLbl val="0"/>
      </c:catAx>
      <c:valAx>
        <c:axId val="52221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22208192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6</xdr:row>
      <xdr:rowOff>179070</xdr:rowOff>
    </xdr:from>
    <xdr:to>
      <xdr:col>10</xdr:col>
      <xdr:colOff>160020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ito" refreshedDate="46241.960237037034" createdVersion="7" refreshedVersion="8" minRefreshableVersion="3" recordCount="16207" xr:uid="{00000000-000A-0000-FFFF-FFFF02000000}">
  <cacheSource type="worksheet">
    <worksheetSource ref="A1:AH16208" sheet="Datos"/>
  </cacheSource>
  <cacheFields count="34">
    <cacheField name="Campo1" caption="Campo1" numFmtId="0">
      <sharedItems containsNonDate="0" containsString="0" containsBlank="1"/>
    </cacheField>
    <cacheField name="Campo2" caption="Campo2" numFmtId="0">
      <sharedItems containsNonDate="0" containsString="0" containsBlank="1"/>
    </cacheField>
    <cacheField name="Campo3" caption="Campo3" numFmtId="0">
      <sharedItems containsNonDate="0" containsString="0" containsBlank="1"/>
    </cacheField>
    <cacheField name="Campo4" caption="Campo4" numFmtId="0">
      <sharedItems containsNonDate="0" containsString="0" containsBlank="1"/>
    </cacheField>
    <cacheField name="Campo5" caption="Campo5" numFmtId="0">
      <sharedItems containsNonDate="0" containsString="0" containsBlank="1"/>
    </cacheField>
    <cacheField name="Campo6" caption="Campo6" numFmtId="0">
      <sharedItems containsNonDate="0" containsString="0" containsBlank="1"/>
    </cacheField>
    <cacheField name="Campo7" caption="Campo7" numFmtId="0">
      <sharedItems containsNonDate="0" containsString="0" containsBlank="1"/>
    </cacheField>
    <cacheField name="Campo8" caption="Campo8" numFmtId="0">
      <sharedItems containsNonDate="0" containsString="0" containsBlank="1"/>
    </cacheField>
    <cacheField name="Campo9" caption="Campo9" numFmtId="0">
      <sharedItems containsNonDate="0" containsString="0" containsBlank="1"/>
    </cacheField>
    <cacheField name="Campo10" caption="Campo10" numFmtId="0">
      <sharedItems containsNonDate="0" containsString="0" containsBlank="1"/>
    </cacheField>
    <cacheField name="Campo11" caption="Campo11" numFmtId="0">
      <sharedItems containsNonDate="0" containsString="0" containsBlank="1"/>
    </cacheField>
    <cacheField name="Campo12" caption="Campo12" numFmtId="0">
      <sharedItems containsNonDate="0" containsString="0" containsBlank="1"/>
    </cacheField>
    <cacheField name="Campo13" caption="Campo13" numFmtId="0">
      <sharedItems containsNonDate="0" containsString="0" containsBlank="1"/>
    </cacheField>
    <cacheField name="Campo14" caption="Campo14" numFmtId="0">
      <sharedItems containsNonDate="0" containsString="0" containsBlank="1"/>
    </cacheField>
    <cacheField name="Campo15" caption="Campo15" numFmtId="0">
      <sharedItems containsNonDate="0" containsString="0" containsBlank="1"/>
    </cacheField>
    <cacheField name="Campo16" caption="Campo16" numFmtId="0">
      <sharedItems containsNonDate="0" containsString="0" containsBlank="1"/>
    </cacheField>
    <cacheField name="Campo17" caption="Campo17" numFmtId="0">
      <sharedItems containsNonDate="0" containsString="0" containsBlank="1"/>
    </cacheField>
    <cacheField name="Campo18" caption="Campo18" numFmtId="0">
      <sharedItems containsNonDate="0" containsString="0" containsBlank="1"/>
    </cacheField>
    <cacheField name="Campo19" caption="Campo19" numFmtId="0">
      <sharedItems containsNonDate="0" containsString="0" containsBlank="1"/>
    </cacheField>
    <cacheField name="Campo20" caption="Campo20" numFmtId="0">
      <sharedItems containsNonDate="0" containsString="0" containsBlank="1"/>
    </cacheField>
    <cacheField name="Campo21" caption="Campo21" numFmtId="0">
      <sharedItems containsNonDate="0" containsString="0" containsBlank="1"/>
    </cacheField>
    <cacheField name="Campo22" caption="Campo22" numFmtId="0">
      <sharedItems containsNonDate="0" containsString="0" containsBlank="1"/>
    </cacheField>
    <cacheField name="Campo23" caption="Campo23" numFmtId="0">
      <sharedItems containsNonDate="0" containsString="0" containsBlank="1"/>
    </cacheField>
    <cacheField name="Campo24" caption="Campo24" numFmtId="0">
      <sharedItems containsNonDate="0" containsString="0" containsBlank="1"/>
    </cacheField>
    <cacheField name="Campo25" caption="Campo25" numFmtId="0">
      <sharedItems containsNonDate="0" containsString="0" containsBlank="1"/>
    </cacheField>
    <cacheField name="Campo26" caption="Campo26" numFmtId="0">
      <sharedItems containsNonDate="0" containsString="0" containsBlank="1"/>
    </cacheField>
    <cacheField name="Campo27" caption="Campo27" numFmtId="0">
      <sharedItems containsNonDate="0" containsString="0" containsBlank="1"/>
    </cacheField>
    <cacheField name="Campo28" caption="Campo28" numFmtId="0">
      <sharedItems containsNonDate="0" containsString="0" containsBlank="1"/>
    </cacheField>
    <cacheField name="Campo29" caption="Campo29" numFmtId="0">
      <sharedItems containsNonDate="0" containsString="0" containsBlank="1"/>
    </cacheField>
    <cacheField name="Campo30" caption="Campo30" numFmtId="0">
      <sharedItems containsNonDate="0" containsString="0" containsBlank="1"/>
    </cacheField>
    <cacheField name="Campo31" caption="Campo31" numFmtId="0">
      <sharedItems containsNonDate="0" containsString="0" containsBlank="1"/>
    </cacheField>
    <cacheField name="Campo32" caption="Campo32" numFmtId="0">
      <sharedItems containsNonDate="0" containsString="0" containsBlank="1"/>
    </cacheField>
    <cacheField name="Campo33" caption="Campo33" numFmtId="0">
      <sharedItems containsNonDate="0" containsString="0" containsBlank="1"/>
    </cacheField>
    <cacheField name="Campo34" caption="Campo3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ito" refreshedDate="46241.960268055554" createdVersion="8" refreshedVersion="8" minRefreshableVersion="3" recordCount="1" xr:uid="{1A628D21-58E2-48AD-8631-38EB4D6CA09C}">
  <cacheSource type="worksheet">
    <worksheetSource ref="A1:V10000" sheet="desref"/>
  </cacheSource>
  <cacheFields count="22">
    <cacheField name="fila_ID" numFmtId="0">
      <sharedItems containsNonDate="0" containsString="0" containsBlank="1"/>
    </cacheField>
    <cacheField name="columna" numFmtId="0">
      <sharedItems containsNonDate="0" containsString="0" containsBlank="1" count="1">
        <m/>
      </sharedItems>
    </cacheField>
    <cacheField name="pto_ctrl" numFmtId="0">
      <sharedItems containsNonDate="0" containsString="0" containsBlank="1"/>
    </cacheField>
    <cacheField name="hora_paso" numFmtId="0">
      <sharedItems containsNonDate="0" containsString="0" containsBlank="1"/>
    </cacheField>
    <cacheField name="delta_TV" numFmtId="0">
      <sharedItems containsNonDate="0" containsString="0" containsBlank="1"/>
    </cacheField>
    <cacheField name="muestra" numFmtId="0">
      <sharedItems containsNonDate="0" containsString="0" containsBlank="1" count="1">
        <m/>
      </sharedItems>
    </cacheField>
    <cacheField name="año" numFmtId="0">
      <sharedItems containsNonDate="0" containsString="0" containsBlank="1"/>
    </cacheField>
    <cacheField name="mes" numFmtId="0">
      <sharedItems containsNonDate="0" containsString="0" containsBlank="1"/>
    </cacheField>
    <cacheField name="día" numFmtId="0">
      <sharedItems containsNonDate="0" containsString="0" containsBlank="1"/>
    </cacheField>
    <cacheField name="SS" numFmtId="0">
      <sharedItems containsNonDate="0" containsString="0" containsBlank="1"/>
    </cacheField>
    <cacheField name="puntos_control_OP" numFmtId="0">
      <sharedItems containsNonDate="0" containsString="0" containsBlank="1"/>
    </cacheField>
    <cacheField name="puntos_control_PO" numFmtId="0">
      <sharedItems containsNonDate="0" containsString="0" containsBlank="1"/>
    </cacheField>
    <cacheField name="muestra.1" numFmtId="0">
      <sharedItems containsNonDate="0" containsString="0" containsBlank="1"/>
    </cacheField>
    <cacheField name="Tipo de Día_Período" numFmtId="0">
      <sharedItems containsNonDate="0" containsString="0" containsBlank="1"/>
    </cacheField>
    <cacheField name="SS_Tipo de Día" numFmtId="0">
      <sharedItems containsNonDate="0" containsString="0" containsBlank="1"/>
    </cacheField>
    <cacheField name="Período" numFmtId="0">
      <sharedItems containsNonDate="0" containsString="0" containsBlank="1"/>
    </cacheField>
    <cacheField name="Tipo de Día" numFmtId="0">
      <sharedItems containsNonDate="0" containsString="0" containsBlank="1"/>
    </cacheField>
    <cacheField name="SS_Tipo de Día_Período" numFmtId="0">
      <sharedItems containsNonDate="0" containsString="0" containsBlank="1"/>
    </cacheField>
    <cacheField name="Variante" numFmtId="0">
      <sharedItems containsNonDate="0" containsString="0" containsBlank="1"/>
    </cacheField>
    <cacheField name="Dirección" numFmtId="0">
      <sharedItems containsNonDate="0" containsString="0" containsBlank="1"/>
    </cacheField>
    <cacheField name="delta_TV_min" numFmtId="0">
      <sharedItems containsNonDate="0" containsString="0" containsBlank="1"/>
    </cacheField>
    <cacheField name="velocida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07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x v="0"/>
    <m/>
    <m/>
    <m/>
    <x v="0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" cacheId="14" applyNumberFormats="0" applyBorderFormats="0" applyFontFormats="0" applyPatternFormats="0" applyAlignmentFormats="0" applyWidthHeightFormats="1" dataCaption="Values" updatedVersion="8" minRefreshableVersion="3" asteriskTotals="1" useAutoFormatting="1" itemPrintTitles="1" createdVersion="7" indent="0" outline="1" outlineData="1" multipleFieldFilters="0" chartFormat="3">
  <location ref="A5:C22" firstHeaderRow="1" firstDataRow="1" firstDataCol="0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1B032-A593-4BEE-96A2-154C1C822D75}" name="PivotTable_vel" cacheId="15" applyNumberFormats="0" applyBorderFormats="0" applyFontFormats="0" applyPatternFormats="0" applyAlignmentFormats="0" applyWidthHeightFormats="1" dataCaption="Values" showError="1" updatedVersion="8" minRefreshableVersion="3" asteriskTotals="1" itemPrintTitles="1" createdVersion="7" indent="0" outline="1" outlineData="1" multipleFieldFilters="0">
  <location ref="A3:C6" firstHeaderRow="1" firstDataRow="2" firstDataCol="1" rowPageCount="1" colPageCount="1"/>
  <pivotFields count="22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0" hier="-1"/>
  </pageFields>
  <dataFields count="2">
    <dataField name="Average of velocidad" fld="21" subtotal="average" baseField="0" baseItem="0" numFmtId="2"/>
    <dataField name="StdDev of velocidad" fld="21" subtotal="stdDev" baseField="0" baseItem="0" numFmtId="2"/>
  </dataFields>
  <formats count="7">
    <format dxfId="2">
      <pivotArea type="all" dataOnly="0" outline="0" fieldPosition="0"/>
    </format>
    <format dxfId="3">
      <pivotArea outline="0" collapsedLevelsAreSubtotals="1" fieldPosition="0"/>
    </format>
    <format dxfId="4">
      <pivotArea field="1" type="button" dataOnly="0" labelOnly="1" outline="0" axis="axisRow" fieldPosition="0"/>
    </format>
    <format dxfId="5">
      <pivotArea dataOnly="0" labelOnly="1" grandRow="1" outline="0" fieldPosition="0"/>
    </format>
    <format dxfId="6">
      <pivotArea dataOnly="0" labelOnly="1" outline="0" axis="axisValues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B447E-3D37-4D71-B1A6-0D4B45B646AC}" name="PivotTable2" cacheId="15" applyNumberFormats="0" applyBorderFormats="0" applyFontFormats="0" applyPatternFormats="0" applyAlignmentFormats="0" applyWidthHeightFormats="1" dataCaption="Values" showError="1" updatedVersion="8" minRefreshableVersion="3" asteriskTotals="1" itemPrintTitles="1" createdVersion="7" indent="0" outline="1" outlineData="1" multipleFieldFilters="0">
  <location ref="A3:C6" firstHeaderRow="1" firstDataRow="2" firstDataCol="1" rowPageCount="1" colPageCount="1"/>
  <pivotFields count="22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0" hier="-1"/>
  </pageFields>
  <dataFields count="2">
    <dataField name="Average of delta_TV_min" fld="20" subtotal="average" baseField="1" baseItem="5"/>
    <dataField name="StdDev of delta_TV_min" fld="20" subtotal="stdDev" baseField="1" baseItem="6"/>
  </dataFields>
  <formats count="7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22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17.5703125" bestFit="1" customWidth="1"/>
    <col min="2" max="2" width="12.140625" bestFit="1" customWidth="1"/>
    <col min="3" max="31" width="10.28515625" bestFit="1" customWidth="1"/>
    <col min="32" max="32" width="10.7109375" bestFit="1" customWidth="1"/>
  </cols>
  <sheetData>
    <row r="5" spans="1:3" x14ac:dyDescent="0.25">
      <c r="A5" s="9"/>
      <c r="B5" s="10"/>
      <c r="C5" s="11"/>
    </row>
    <row r="6" spans="1:3" x14ac:dyDescent="0.25">
      <c r="A6" s="12"/>
      <c r="B6" s="13"/>
      <c r="C6" s="14"/>
    </row>
    <row r="7" spans="1:3" x14ac:dyDescent="0.25">
      <c r="A7" s="12"/>
      <c r="B7" s="13"/>
      <c r="C7" s="14"/>
    </row>
    <row r="8" spans="1:3" x14ac:dyDescent="0.25">
      <c r="A8" s="12"/>
      <c r="B8" s="13"/>
      <c r="C8" s="14"/>
    </row>
    <row r="9" spans="1:3" x14ac:dyDescent="0.25">
      <c r="A9" s="12"/>
      <c r="B9" s="13"/>
      <c r="C9" s="14"/>
    </row>
    <row r="10" spans="1:3" x14ac:dyDescent="0.25">
      <c r="A10" s="12"/>
      <c r="B10" s="13"/>
      <c r="C10" s="14"/>
    </row>
    <row r="11" spans="1:3" x14ac:dyDescent="0.25">
      <c r="A11" s="12"/>
      <c r="B11" s="13"/>
      <c r="C11" s="14"/>
    </row>
    <row r="12" spans="1:3" x14ac:dyDescent="0.25">
      <c r="A12" s="12"/>
      <c r="B12" s="13"/>
      <c r="C12" s="14"/>
    </row>
    <row r="13" spans="1:3" x14ac:dyDescent="0.25">
      <c r="A13" s="12"/>
      <c r="B13" s="13"/>
      <c r="C13" s="14"/>
    </row>
    <row r="14" spans="1:3" x14ac:dyDescent="0.25">
      <c r="A14" s="12"/>
      <c r="B14" s="13"/>
      <c r="C14" s="14"/>
    </row>
    <row r="15" spans="1:3" x14ac:dyDescent="0.25">
      <c r="A15" s="12"/>
      <c r="B15" s="13"/>
      <c r="C15" s="14"/>
    </row>
    <row r="16" spans="1:3" x14ac:dyDescent="0.25">
      <c r="A16" s="12"/>
      <c r="B16" s="13"/>
      <c r="C16" s="14"/>
    </row>
    <row r="17" spans="1:3" x14ac:dyDescent="0.25">
      <c r="A17" s="12"/>
      <c r="B17" s="13"/>
      <c r="C17" s="14"/>
    </row>
    <row r="18" spans="1:3" x14ac:dyDescent="0.25">
      <c r="A18" s="12"/>
      <c r="B18" s="13"/>
      <c r="C18" s="14"/>
    </row>
    <row r="19" spans="1:3" x14ac:dyDescent="0.25">
      <c r="A19" s="12"/>
      <c r="B19" s="13"/>
      <c r="C19" s="14"/>
    </row>
    <row r="20" spans="1:3" x14ac:dyDescent="0.25">
      <c r="A20" s="12"/>
      <c r="B20" s="13"/>
      <c r="C20" s="14"/>
    </row>
    <row r="21" spans="1:3" x14ac:dyDescent="0.25">
      <c r="A21" s="12"/>
      <c r="B21" s="13"/>
      <c r="C21" s="14"/>
    </row>
    <row r="22" spans="1:3" x14ac:dyDescent="0.25">
      <c r="A22" s="15"/>
      <c r="B22" s="16"/>
      <c r="C22" s="17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"/>
  <sheetViews>
    <sheetView workbookViewId="0"/>
  </sheetViews>
  <sheetFormatPr baseColWidth="10" defaultColWidth="9.140625" defaultRowHeight="15" x14ac:dyDescent="0.25"/>
  <sheetData>
    <row r="1" spans="1:22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0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9</v>
      </c>
      <c r="R1" s="6" t="s">
        <v>26</v>
      </c>
      <c r="S1" s="6" t="s">
        <v>7</v>
      </c>
      <c r="T1" s="6" t="s">
        <v>8</v>
      </c>
      <c r="U1" s="6" t="s">
        <v>27</v>
      </c>
      <c r="V1" s="6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0CC2-2679-4923-B32D-21A8FCD80107}">
  <sheetPr>
    <tabColor rgb="FFFF0000"/>
  </sheetPr>
  <dimension ref="A1:G34"/>
  <sheetViews>
    <sheetView showGridLines="0" tabSelected="1" workbookViewId="0">
      <selection activeCell="C1" sqref="C1"/>
    </sheetView>
  </sheetViews>
  <sheetFormatPr baseColWidth="10" defaultColWidth="9.140625" defaultRowHeight="15" x14ac:dyDescent="0.25"/>
  <cols>
    <col min="1" max="1" width="12.5703125" style="1" bestFit="1" customWidth="1"/>
    <col min="2" max="2" width="22.5703125" style="1" bestFit="1" customWidth="1"/>
    <col min="3" max="3" width="21.7109375" bestFit="1" customWidth="1"/>
  </cols>
  <sheetData>
    <row r="1" spans="1:7" x14ac:dyDescent="0.25">
      <c r="A1" s="3" t="s">
        <v>0</v>
      </c>
      <c r="B1" s="1" t="s">
        <v>31</v>
      </c>
    </row>
    <row r="3" spans="1:7" x14ac:dyDescent="0.25">
      <c r="B3" s="3" t="s">
        <v>1</v>
      </c>
      <c r="C3" s="1"/>
      <c r="D3" s="1" t="s">
        <v>2</v>
      </c>
      <c r="E3" s="1"/>
      <c r="F3" s="1"/>
    </row>
    <row r="4" spans="1:7" x14ac:dyDescent="0.25">
      <c r="A4" s="3" t="s">
        <v>5</v>
      </c>
      <c r="B4" s="1" t="s">
        <v>32</v>
      </c>
      <c r="C4" s="1" t="s">
        <v>33</v>
      </c>
      <c r="F4" s="1" t="s">
        <v>3</v>
      </c>
      <c r="G4" t="s">
        <v>6</v>
      </c>
    </row>
    <row r="5" spans="1:7" x14ac:dyDescent="0.25">
      <c r="A5" s="1" t="s">
        <v>31</v>
      </c>
      <c r="B5" s="18"/>
      <c r="C5" s="18"/>
      <c r="D5" s="4" t="str">
        <f>IFERROR(C5/B5,"")</f>
        <v/>
      </c>
      <c r="E5" s="2"/>
      <c r="F5" s="5"/>
      <c r="G5" s="5"/>
    </row>
    <row r="6" spans="1:7" x14ac:dyDescent="0.25">
      <c r="A6" s="1" t="s">
        <v>10</v>
      </c>
      <c r="B6" s="18"/>
      <c r="C6" s="18"/>
      <c r="D6" s="4" t="str">
        <f>IFERROR(C6/B6,"")</f>
        <v/>
      </c>
      <c r="E6" s="2"/>
      <c r="F6" s="5"/>
      <c r="G6" s="5"/>
    </row>
    <row r="7" spans="1:7" x14ac:dyDescent="0.25">
      <c r="D7" s="4" t="str">
        <f>IFERROR(C7/B7,"")</f>
        <v/>
      </c>
      <c r="E7" s="2"/>
      <c r="F7" s="5"/>
      <c r="G7" s="5"/>
    </row>
    <row r="8" spans="1:7" x14ac:dyDescent="0.25">
      <c r="D8" s="4" t="str">
        <f>IFERROR(C8/B8,"")</f>
        <v/>
      </c>
      <c r="E8" s="2"/>
      <c r="F8" s="5"/>
      <c r="G8" s="5"/>
    </row>
    <row r="9" spans="1:7" x14ac:dyDescent="0.25">
      <c r="D9" s="4" t="str">
        <f>IFERROR(C9/B9,"")</f>
        <v/>
      </c>
      <c r="E9" s="2"/>
      <c r="F9" s="5"/>
      <c r="G9" s="5"/>
    </row>
    <row r="10" spans="1:7" x14ac:dyDescent="0.25">
      <c r="D10" s="4" t="str">
        <f>IFERROR(C10/B10,"")</f>
        <v/>
      </c>
      <c r="E10" s="2"/>
      <c r="F10" s="5"/>
      <c r="G10" s="5"/>
    </row>
    <row r="11" spans="1:7" x14ac:dyDescent="0.25">
      <c r="D11" s="4" t="str">
        <f>IFERROR(C11/B11,"")</f>
        <v/>
      </c>
      <c r="E11" s="2"/>
      <c r="F11" s="5"/>
      <c r="G11" s="5"/>
    </row>
    <row r="12" spans="1:7" x14ac:dyDescent="0.25">
      <c r="D12" s="4" t="str">
        <f>IFERROR(C12/B12,"")</f>
        <v/>
      </c>
      <c r="E12" s="2"/>
      <c r="F12" s="5"/>
      <c r="G12" s="5"/>
    </row>
    <row r="13" spans="1:7" x14ac:dyDescent="0.25">
      <c r="D13" s="4" t="str">
        <f>IFERROR(C13/B13,"")</f>
        <v/>
      </c>
      <c r="E13" s="2"/>
      <c r="F13" s="5"/>
      <c r="G13" s="5"/>
    </row>
    <row r="14" spans="1:7" x14ac:dyDescent="0.25">
      <c r="D14" s="4" t="str">
        <f>IFERROR(C14/B14,"")</f>
        <v/>
      </c>
      <c r="E14" s="2"/>
      <c r="F14" s="5"/>
      <c r="G14" s="5"/>
    </row>
    <row r="15" spans="1:7" x14ac:dyDescent="0.25">
      <c r="D15" s="4" t="str">
        <f>IFERROR(C15/B15,"")</f>
        <v/>
      </c>
      <c r="E15" s="2"/>
      <c r="F15" s="5"/>
      <c r="G15" s="5"/>
    </row>
    <row r="16" spans="1:7" x14ac:dyDescent="0.25">
      <c r="D16" s="4" t="str">
        <f>IFERROR(C16/B16,"")</f>
        <v/>
      </c>
      <c r="E16" s="2"/>
      <c r="F16" s="5"/>
      <c r="G16" s="5"/>
    </row>
    <row r="17" spans="4:7" x14ac:dyDescent="0.25">
      <c r="D17" s="4" t="str">
        <f>IFERROR(C17/B17,"")</f>
        <v/>
      </c>
      <c r="E17" s="2"/>
      <c r="F17" s="5"/>
      <c r="G17" s="5"/>
    </row>
    <row r="18" spans="4:7" x14ac:dyDescent="0.25">
      <c r="D18" s="4" t="str">
        <f>IFERROR(C18/B18,"")</f>
        <v/>
      </c>
      <c r="E18" s="2"/>
      <c r="F18" s="5"/>
      <c r="G18" s="5"/>
    </row>
    <row r="19" spans="4:7" x14ac:dyDescent="0.25">
      <c r="D19" s="4" t="str">
        <f>IFERROR(C19/B19,"")</f>
        <v/>
      </c>
      <c r="E19" s="2"/>
      <c r="F19" s="5"/>
      <c r="G19" s="5"/>
    </row>
    <row r="20" spans="4:7" x14ac:dyDescent="0.25">
      <c r="D20" s="4" t="str">
        <f>IFERROR(C20/B20,"")</f>
        <v/>
      </c>
      <c r="E20" s="2"/>
      <c r="F20" s="5"/>
      <c r="G20" s="5"/>
    </row>
    <row r="21" spans="4:7" x14ac:dyDescent="0.25">
      <c r="D21" s="4" t="str">
        <f>IFERROR(C21/B21,"")</f>
        <v/>
      </c>
      <c r="E21" s="2"/>
      <c r="F21" s="5"/>
      <c r="G21" s="5"/>
    </row>
    <row r="22" spans="4:7" x14ac:dyDescent="0.25">
      <c r="D22" s="4" t="str">
        <f>IFERROR(C22/B22,"")</f>
        <v/>
      </c>
      <c r="E22" s="2"/>
      <c r="F22" s="5"/>
      <c r="G22" s="5"/>
    </row>
    <row r="23" spans="4:7" x14ac:dyDescent="0.25">
      <c r="D23" s="4" t="str">
        <f>IFERROR(C23/B23,"")</f>
        <v/>
      </c>
      <c r="E23" s="2"/>
      <c r="F23" s="5"/>
      <c r="G23" s="5"/>
    </row>
    <row r="24" spans="4:7" x14ac:dyDescent="0.25">
      <c r="D24" s="4" t="str">
        <f>IFERROR(C24/B24,"")</f>
        <v/>
      </c>
      <c r="E24" s="2"/>
      <c r="F24" s="5"/>
      <c r="G24" s="5"/>
    </row>
    <row r="25" spans="4:7" x14ac:dyDescent="0.25">
      <c r="D25" s="4" t="str">
        <f>IFERROR(C25/B25,"")</f>
        <v/>
      </c>
      <c r="E25" s="2"/>
      <c r="F25" s="5"/>
      <c r="G25" s="5"/>
    </row>
    <row r="26" spans="4:7" x14ac:dyDescent="0.25">
      <c r="D26" t="str">
        <f>IFERROR(C26/B26,"")</f>
        <v/>
      </c>
      <c r="G26" s="5"/>
    </row>
    <row r="27" spans="4:7" x14ac:dyDescent="0.25">
      <c r="D27" t="str">
        <f>IFERROR(C27/B27,"")</f>
        <v/>
      </c>
    </row>
    <row r="28" spans="4:7" x14ac:dyDescent="0.25">
      <c r="D28" t="str">
        <f>IFERROR(C28/B28,"")</f>
        <v/>
      </c>
    </row>
    <row r="29" spans="4:7" x14ac:dyDescent="0.25">
      <c r="D29" t="str">
        <f>IFERROR(C29/B29,"")</f>
        <v/>
      </c>
    </row>
    <row r="30" spans="4:7" x14ac:dyDescent="0.25">
      <c r="D30" t="str">
        <f>IFERROR(C30/B30,"")</f>
        <v/>
      </c>
    </row>
    <row r="31" spans="4:7" x14ac:dyDescent="0.25">
      <c r="D31" t="str">
        <f>IFERROR(C31/B31,"")</f>
        <v/>
      </c>
    </row>
    <row r="32" spans="4:7" x14ac:dyDescent="0.25">
      <c r="D32" t="str">
        <f>IFERROR(C32/B32,"")</f>
        <v/>
      </c>
    </row>
    <row r="33" spans="4:4" x14ac:dyDescent="0.25">
      <c r="D33" t="str">
        <f>IFERROR(C33/B33,"")</f>
        <v/>
      </c>
    </row>
    <row r="34" spans="4:4" x14ac:dyDescent="0.25">
      <c r="D34" t="str">
        <f>IFERROR(C34/B34,"")</f>
        <v/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26"/>
  <sheetViews>
    <sheetView showGridLines="0" workbookViewId="0">
      <selection activeCell="C1" sqref="C1"/>
    </sheetView>
  </sheetViews>
  <sheetFormatPr baseColWidth="10" defaultColWidth="9.140625" defaultRowHeight="15" x14ac:dyDescent="0.25"/>
  <cols>
    <col min="1" max="1" width="12.5703125" style="1" bestFit="1" customWidth="1"/>
    <col min="2" max="2" width="22.5703125" style="1" bestFit="1" customWidth="1"/>
    <col min="3" max="3" width="21.7109375" bestFit="1" customWidth="1"/>
  </cols>
  <sheetData>
    <row r="1" spans="1:7" x14ac:dyDescent="0.25">
      <c r="A1" s="3" t="s">
        <v>0</v>
      </c>
      <c r="B1" s="1" t="s">
        <v>31</v>
      </c>
    </row>
    <row r="3" spans="1:7" x14ac:dyDescent="0.25">
      <c r="B3" s="3" t="s">
        <v>1</v>
      </c>
      <c r="C3" s="1"/>
      <c r="D3" s="1" t="s">
        <v>2</v>
      </c>
      <c r="E3" s="1" t="s">
        <v>3</v>
      </c>
      <c r="F3" s="1" t="s">
        <v>4</v>
      </c>
    </row>
    <row r="4" spans="1:7" x14ac:dyDescent="0.25">
      <c r="A4" s="3" t="s">
        <v>5</v>
      </c>
      <c r="B4" s="1" t="s">
        <v>29</v>
      </c>
      <c r="C4" s="1" t="s">
        <v>30</v>
      </c>
      <c r="F4" s="1" t="s">
        <v>3</v>
      </c>
      <c r="G4" t="s">
        <v>6</v>
      </c>
    </row>
    <row r="5" spans="1:7" x14ac:dyDescent="0.25">
      <c r="A5" s="1" t="s">
        <v>31</v>
      </c>
      <c r="B5" s="7"/>
      <c r="C5" s="8"/>
      <c r="D5" s="4" t="str">
        <f t="shared" ref="D5:D25" si="0">IFERROR(C5/B5,"")</f>
        <v/>
      </c>
      <c r="E5" s="2" t="str">
        <f t="shared" ref="E5:E25" si="1">IFERROR(B5*(1+D5),"")</f>
        <v/>
      </c>
      <c r="F5" s="5" t="str">
        <f t="shared" ref="F5:F25" si="2">IFERROR(MROUND(E5,TIME(0,1,0)),"")</f>
        <v/>
      </c>
      <c r="G5" s="5" t="str">
        <f t="shared" ref="G5:G25" si="3">IF(F5="","",MROUND(B5,TIME(0,1,0)))</f>
        <v/>
      </c>
    </row>
    <row r="6" spans="1:7" x14ac:dyDescent="0.25">
      <c r="A6" s="1" t="s">
        <v>10</v>
      </c>
      <c r="B6" s="7"/>
      <c r="C6" s="8"/>
      <c r="D6" s="4" t="str">
        <f t="shared" si="0"/>
        <v/>
      </c>
      <c r="E6" s="2" t="str">
        <f t="shared" si="1"/>
        <v/>
      </c>
      <c r="F6" s="5" t="str">
        <f t="shared" si="2"/>
        <v/>
      </c>
      <c r="G6" s="5" t="str">
        <f t="shared" si="3"/>
        <v/>
      </c>
    </row>
    <row r="7" spans="1:7" x14ac:dyDescent="0.25">
      <c r="D7" s="4" t="str">
        <f t="shared" si="0"/>
        <v/>
      </c>
      <c r="E7" s="2" t="str">
        <f t="shared" si="1"/>
        <v/>
      </c>
      <c r="F7" s="5" t="str">
        <f t="shared" si="2"/>
        <v/>
      </c>
      <c r="G7" s="5" t="str">
        <f t="shared" si="3"/>
        <v/>
      </c>
    </row>
    <row r="8" spans="1:7" x14ac:dyDescent="0.25">
      <c r="D8" s="4" t="str">
        <f t="shared" si="0"/>
        <v/>
      </c>
      <c r="E8" s="2" t="str">
        <f t="shared" si="1"/>
        <v/>
      </c>
      <c r="F8" s="5" t="str">
        <f t="shared" si="2"/>
        <v/>
      </c>
      <c r="G8" s="5" t="str">
        <f t="shared" si="3"/>
        <v/>
      </c>
    </row>
    <row r="9" spans="1:7" x14ac:dyDescent="0.25">
      <c r="D9" s="4" t="str">
        <f t="shared" si="0"/>
        <v/>
      </c>
      <c r="E9" s="2" t="str">
        <f t="shared" si="1"/>
        <v/>
      </c>
      <c r="F9" s="5" t="str">
        <f t="shared" si="2"/>
        <v/>
      </c>
      <c r="G9" s="5" t="str">
        <f t="shared" si="3"/>
        <v/>
      </c>
    </row>
    <row r="10" spans="1:7" x14ac:dyDescent="0.25">
      <c r="D10" s="4" t="str">
        <f t="shared" si="0"/>
        <v/>
      </c>
      <c r="E10" s="2" t="str">
        <f t="shared" si="1"/>
        <v/>
      </c>
      <c r="F10" s="5" t="str">
        <f t="shared" si="2"/>
        <v/>
      </c>
      <c r="G10" s="5" t="str">
        <f t="shared" si="3"/>
        <v/>
      </c>
    </row>
    <row r="11" spans="1:7" x14ac:dyDescent="0.25">
      <c r="D11" s="4" t="str">
        <f t="shared" si="0"/>
        <v/>
      </c>
      <c r="E11" s="2" t="str">
        <f t="shared" si="1"/>
        <v/>
      </c>
      <c r="F11" s="5" t="str">
        <f t="shared" si="2"/>
        <v/>
      </c>
      <c r="G11" s="5" t="str">
        <f t="shared" si="3"/>
        <v/>
      </c>
    </row>
    <row r="12" spans="1:7" x14ac:dyDescent="0.25">
      <c r="D12" s="4" t="str">
        <f t="shared" si="0"/>
        <v/>
      </c>
      <c r="E12" s="2" t="str">
        <f t="shared" si="1"/>
        <v/>
      </c>
      <c r="F12" s="5" t="str">
        <f t="shared" si="2"/>
        <v/>
      </c>
      <c r="G12" s="5" t="str">
        <f t="shared" si="3"/>
        <v/>
      </c>
    </row>
    <row r="13" spans="1:7" x14ac:dyDescent="0.25">
      <c r="D13" s="4" t="str">
        <f t="shared" si="0"/>
        <v/>
      </c>
      <c r="E13" s="2" t="str">
        <f t="shared" si="1"/>
        <v/>
      </c>
      <c r="F13" s="5" t="str">
        <f t="shared" si="2"/>
        <v/>
      </c>
      <c r="G13" s="5" t="str">
        <f t="shared" si="3"/>
        <v/>
      </c>
    </row>
    <row r="14" spans="1:7" x14ac:dyDescent="0.25">
      <c r="D14" s="4" t="str">
        <f t="shared" si="0"/>
        <v/>
      </c>
      <c r="E14" s="2" t="str">
        <f t="shared" si="1"/>
        <v/>
      </c>
      <c r="F14" s="5" t="str">
        <f t="shared" si="2"/>
        <v/>
      </c>
      <c r="G14" s="5" t="str">
        <f t="shared" si="3"/>
        <v/>
      </c>
    </row>
    <row r="15" spans="1:7" x14ac:dyDescent="0.25">
      <c r="D15" s="4" t="str">
        <f t="shared" si="0"/>
        <v/>
      </c>
      <c r="E15" s="2" t="str">
        <f t="shared" si="1"/>
        <v/>
      </c>
      <c r="F15" s="5" t="str">
        <f t="shared" si="2"/>
        <v/>
      </c>
      <c r="G15" s="5" t="str">
        <f t="shared" si="3"/>
        <v/>
      </c>
    </row>
    <row r="16" spans="1:7" x14ac:dyDescent="0.25">
      <c r="D16" s="4" t="str">
        <f t="shared" si="0"/>
        <v/>
      </c>
      <c r="E16" s="2" t="str">
        <f t="shared" si="1"/>
        <v/>
      </c>
      <c r="F16" s="5" t="str">
        <f t="shared" si="2"/>
        <v/>
      </c>
      <c r="G16" s="5" t="str">
        <f t="shared" si="3"/>
        <v/>
      </c>
    </row>
    <row r="17" spans="4:7" x14ac:dyDescent="0.25">
      <c r="D17" s="4" t="str">
        <f t="shared" si="0"/>
        <v/>
      </c>
      <c r="E17" s="2" t="str">
        <f t="shared" si="1"/>
        <v/>
      </c>
      <c r="F17" s="5" t="str">
        <f t="shared" si="2"/>
        <v/>
      </c>
      <c r="G17" s="5" t="str">
        <f t="shared" si="3"/>
        <v/>
      </c>
    </row>
    <row r="18" spans="4:7" x14ac:dyDescent="0.25">
      <c r="D18" s="4" t="str">
        <f t="shared" si="0"/>
        <v/>
      </c>
      <c r="E18" s="2" t="str">
        <f t="shared" si="1"/>
        <v/>
      </c>
      <c r="F18" s="5" t="str">
        <f t="shared" si="2"/>
        <v/>
      </c>
      <c r="G18" s="5" t="str">
        <f t="shared" si="3"/>
        <v/>
      </c>
    </row>
    <row r="19" spans="4:7" x14ac:dyDescent="0.25">
      <c r="D19" s="4" t="str">
        <f t="shared" si="0"/>
        <v/>
      </c>
      <c r="E19" s="2" t="str">
        <f t="shared" si="1"/>
        <v/>
      </c>
      <c r="F19" s="5" t="str">
        <f t="shared" si="2"/>
        <v/>
      </c>
      <c r="G19" s="5" t="str">
        <f t="shared" si="3"/>
        <v/>
      </c>
    </row>
    <row r="20" spans="4:7" x14ac:dyDescent="0.25">
      <c r="D20" s="4" t="str">
        <f t="shared" si="0"/>
        <v/>
      </c>
      <c r="E20" s="2" t="str">
        <f t="shared" si="1"/>
        <v/>
      </c>
      <c r="F20" s="5" t="str">
        <f t="shared" si="2"/>
        <v/>
      </c>
      <c r="G20" s="5" t="str">
        <f t="shared" si="3"/>
        <v/>
      </c>
    </row>
    <row r="21" spans="4:7" x14ac:dyDescent="0.25">
      <c r="D21" s="4" t="str">
        <f t="shared" si="0"/>
        <v/>
      </c>
      <c r="E21" s="2" t="str">
        <f t="shared" si="1"/>
        <v/>
      </c>
      <c r="F21" s="5" t="str">
        <f t="shared" si="2"/>
        <v/>
      </c>
      <c r="G21" s="5" t="str">
        <f t="shared" si="3"/>
        <v/>
      </c>
    </row>
    <row r="22" spans="4:7" x14ac:dyDescent="0.25">
      <c r="D22" s="4" t="str">
        <f t="shared" si="0"/>
        <v/>
      </c>
      <c r="E22" s="2" t="str">
        <f t="shared" si="1"/>
        <v/>
      </c>
      <c r="F22" s="5" t="str">
        <f t="shared" si="2"/>
        <v/>
      </c>
      <c r="G22" s="5" t="str">
        <f t="shared" si="3"/>
        <v/>
      </c>
    </row>
    <row r="23" spans="4:7" x14ac:dyDescent="0.25">
      <c r="D23" s="4" t="str">
        <f t="shared" si="0"/>
        <v/>
      </c>
      <c r="E23" s="2" t="str">
        <f t="shared" si="1"/>
        <v/>
      </c>
      <c r="F23" s="5" t="str">
        <f t="shared" si="2"/>
        <v/>
      </c>
      <c r="G23" s="5" t="str">
        <f t="shared" si="3"/>
        <v/>
      </c>
    </row>
    <row r="24" spans="4:7" x14ac:dyDescent="0.25">
      <c r="D24" s="4" t="str">
        <f t="shared" si="0"/>
        <v/>
      </c>
      <c r="E24" s="2" t="str">
        <f t="shared" si="1"/>
        <v/>
      </c>
      <c r="F24" s="5" t="str">
        <f t="shared" si="2"/>
        <v/>
      </c>
      <c r="G24" s="5" t="str">
        <f t="shared" si="3"/>
        <v/>
      </c>
    </row>
    <row r="25" spans="4:7" x14ac:dyDescent="0.25">
      <c r="D25" s="4" t="str">
        <f t="shared" si="0"/>
        <v/>
      </c>
      <c r="E25" s="2" t="str">
        <f t="shared" si="1"/>
        <v/>
      </c>
      <c r="F25" s="5" t="str">
        <f t="shared" si="2"/>
        <v/>
      </c>
      <c r="G25" s="5" t="str">
        <f t="shared" si="3"/>
        <v/>
      </c>
    </row>
    <row r="26" spans="4:7" x14ac:dyDescent="0.25">
      <c r="G26" s="5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expediciones</vt:lpstr>
      <vt:lpstr>Datos</vt:lpstr>
      <vt:lpstr>desref</vt:lpstr>
      <vt:lpstr>TD_velocidades</vt:lpstr>
      <vt:lpstr>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Raulito</cp:lastModifiedBy>
  <dcterms:created xsi:type="dcterms:W3CDTF">2026-03-31T10:24:18Z</dcterms:created>
  <dcterms:modified xsi:type="dcterms:W3CDTF">2026-08-08T03:02:47Z</dcterms:modified>
</cp:coreProperties>
</file>